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ess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sz val="11"/>
    </font>
    <font>
      <name val="Calibri"/>
      <b val="1"/>
      <color rgb="001F497D"/>
      <sz val="24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1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5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F497D"/>
      </bottom>
    </border>
    <border>
      <top style="thin">
        <color rgb="00D3D3D3"/>
      </top>
      <bottom style="double">
        <color rgb="001F497D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/>
      <right/>
      <top style="thin">
        <color rgb="00D3D3D3"/>
      </top>
      <bottom style="medium">
        <color rgb="001F497D"/>
      </bottom>
      <diagonal/>
    </border>
    <border>
      <left/>
      <right style="thin">
        <color rgb="00D3D3D3"/>
      </right>
      <top style="thin">
        <color rgb="00D3D3D3"/>
      </top>
      <bottom style="medium">
        <color rgb="001F497D"/>
      </bottom>
      <diagonal/>
    </border>
    <border>
      <left style="thin">
        <color rgb="00D3D3D3"/>
      </left>
      <right/>
      <top/>
      <bottom/>
      <diagonal/>
    </border>
    <border>
      <left/>
      <right style="thin">
        <color rgb="00D3D3D3"/>
      </right>
      <top/>
      <bottom/>
      <diagonal/>
    </border>
    <border>
      <left style="thin">
        <color rgb="00D3D3D3"/>
      </left>
      <right/>
      <top/>
      <bottom style="thin">
        <color rgb="00D3D3D3"/>
      </bottom>
      <diagonal/>
    </border>
    <border>
      <left/>
      <right style="thin">
        <color rgb="00D3D3D3"/>
      </right>
      <top/>
      <bottom style="thin">
        <color rgb="00D3D3D3"/>
      </bottom>
      <diagonal/>
    </border>
    <border>
      <left/>
      <right/>
      <top style="thin">
        <color rgb="00D3D3D3"/>
      </top>
      <bottom style="double">
        <color rgb="001F497D"/>
      </bottom>
      <diagonal/>
    </border>
    <border>
      <right/>
      <top style="thin">
        <color rgb="00D3D3D3"/>
      </top>
      <bottom style="double">
        <color rgb="001F497D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7" fillId="0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right" vertical="center"/>
    </xf>
    <xf numFmtId="0" fontId="0" fillId="0" borderId="3" pivotButton="0" quotePrefix="0" xfId="0"/>
    <xf numFmtId="165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Levels vs. Minimum Desired per Prism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Dashboard!B9</f>
            </strRef>
          </tx>
          <spPr>
            <a:ln xmlns:a="http://schemas.openxmlformats.org/drawingml/2006/main">
              <a:prstDash val="solid"/>
            </a:ln>
          </spPr>
          <cat>
            <numRef>
              <f>Dashboard!$A$10:$A$13</f>
            </numRef>
          </cat>
          <val>
            <numRef>
              <f>Dashboard!$B$10:$B$13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Analysis Prisms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Maturity Level (%)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  <col width="15" customWidth="1" min="4" max="4"/>
    <col width="5" customWidth="1" min="5" max="5"/>
    <col width="12" customWidth="1" min="6" max="6"/>
    <col width="25" customWidth="1" min="7" max="7"/>
    <col width="85" customWidth="1" min="8" max="8"/>
    <col width="35" customWidth="1" min="9" max="9"/>
  </cols>
  <sheetData>
    <row r="1" ht="30" customHeight="1">
      <c r="A1" s="1" t="inlineStr">
        <is>
          <t>TRIAXIAL CYBERSECURITY MATURITY FRAMEWORK</t>
        </is>
      </c>
    </row>
    <row r="2" ht="20" customHeight="1">
      <c r="A2" s="2" t="inlineStr">
        <is>
          <t>Human Factors, Organizational Culture, and Secure Systems Usability (UCD/HC3)</t>
        </is>
      </c>
    </row>
    <row r="4">
      <c r="A4" s="3" t="inlineStr">
        <is>
          <t>OVERALL MATURITY INDEX</t>
        </is>
      </c>
      <c r="C4" s="3" t="inlineStr">
        <is>
          <t>MATURITY CATEGORY</t>
        </is>
      </c>
      <c r="F4" s="4" t="inlineStr">
        <is>
          <t>REFERENCE TABLE AND MATURITY LEVELS</t>
        </is>
      </c>
      <c r="G4" s="33" t="n"/>
      <c r="H4" s="33" t="n"/>
      <c r="I4" s="34" t="n"/>
    </row>
    <row r="5" ht="40" customHeight="1">
      <c r="A5" s="5">
        <f>Assessment!H21/Assessment!I21</f>
        <v/>
      </c>
      <c r="B5" s="35" t="n"/>
      <c r="C5" s="7">
        <f>IF(A5&lt;0.4, "Vulnerable / Critical", IF(A5&lt;0.6, "Reactive / Basic", IF(A5&lt;0.8, "Proactive / Managed", "Resilient / Optimized")))</f>
        <v/>
      </c>
      <c r="D5" s="35" t="n"/>
      <c r="F5" s="8" t="inlineStr">
        <is>
          <t>0% - 40%</t>
        </is>
      </c>
      <c r="G5" s="9" t="inlineStr">
        <is>
          <t>Vulnerable / Critical</t>
        </is>
      </c>
      <c r="H5" s="10" t="inlineStr">
        <is>
          <t>High risk of Amygdala Hijacking, high rate of credential exposure (Silva et al., 2025), and poor usability of secure systems.</t>
        </is>
      </c>
      <c r="I5" s="36" t="n"/>
    </row>
    <row r="6" ht="40" customHeight="1">
      <c r="A6" s="37" t="n"/>
      <c r="B6" s="38" t="n"/>
      <c r="C6" s="37" t="n"/>
      <c r="D6" s="38" t="n"/>
      <c r="F6" s="8" t="inlineStr">
        <is>
          <t>41% - 60%</t>
        </is>
      </c>
      <c r="G6" s="9" t="inlineStr">
        <is>
          <t>Reactive / Basic</t>
        </is>
      </c>
      <c r="H6" s="10" t="inlineStr">
        <is>
          <t>Reactive IT policies (KAB paradox). Users merely sign policy terms without active engagement. Shadow IT and BYOD are uncontrolled.</t>
        </is>
      </c>
      <c r="I6" s="36" t="n"/>
    </row>
    <row r="7" ht="40" customHeight="1">
      <c r="F7" s="8" t="inlineStr">
        <is>
          <t>61% - 80%</t>
        </is>
      </c>
      <c r="G7" s="9" t="inlineStr">
        <is>
          <t>Proactive / Managed</t>
        </is>
      </c>
      <c r="H7" s="10" t="inlineStr">
        <is>
          <t>Credential CTI (Silva et al.) is used to feed back into security awareness campaigns (CSA). Partial user-centered design.</t>
        </is>
      </c>
      <c r="I7" s="36" t="n"/>
    </row>
    <row r="8" ht="40" customHeight="1">
      <c r="A8" s="11" t="inlineStr">
        <is>
          <t>PERFORMANCE BY PRISMA (DIMENSION)</t>
        </is>
      </c>
      <c r="F8" s="8" t="inlineStr">
        <is>
          <t>81% - 100%</t>
        </is>
      </c>
      <c r="G8" s="9" t="inlineStr">
        <is>
          <t>Resilient / Optimized</t>
        </is>
      </c>
      <c r="H8" s="10" t="inlineStr">
        <is>
          <t>Leader maturity. Secure interfaces resistant by design (HC3), integrated resilient culture, and native NIST &amp; LGPD compliance.</t>
        </is>
      </c>
      <c r="I8" s="36" t="n"/>
    </row>
    <row r="9" ht="24" customHeight="1">
      <c r="A9" s="4" t="inlineStr">
        <is>
          <t>Analysis Prism (Dimension)</t>
        </is>
      </c>
      <c r="B9" s="4" t="inlineStr">
        <is>
          <t>Overall Score (Maturity %)</t>
        </is>
      </c>
      <c r="C9" s="4" t="inlineStr">
        <is>
          <t>Minimum Desired Maturity</t>
        </is>
      </c>
    </row>
    <row r="10" ht="20" customHeight="1">
      <c r="A10" s="12" t="inlineStr">
        <is>
          <t>Psychological Prism (Human Factors &amp; Biases)</t>
        </is>
      </c>
      <c r="B10" s="13">
        <f>SUMIF(Assessment!$B$5:$B$20, "Psychological Prism", Assessment!$H$5:$H$20) / SUMIF(Assessment!$B$5:$B$20, "Psychological Prism", Assessment!$I$5:$I$20)</f>
        <v/>
      </c>
      <c r="C10" s="14" t="n">
        <v>0.7</v>
      </c>
    </row>
    <row r="11" ht="20" customHeight="1">
      <c r="A11" s="12" t="inlineStr">
        <is>
          <t>Organizational Prism (Intelligence &amp; Culture)</t>
        </is>
      </c>
      <c r="B11" s="13">
        <f>SUMIF(Assessment!$B$5:$B$20, "Organizational Prism", Assessment!$H$5:$H$20) / SUMIF(Assessment!$B$5:$B$20, "Organizational Prism", Assessment!$I$5:$I$20)</f>
        <v/>
      </c>
      <c r="C11" s="14" t="n">
        <v>0.75</v>
      </c>
    </row>
    <row r="12" ht="20" customHeight="1">
      <c r="A12" s="12" t="inlineStr">
        <is>
          <t>Design Prism (Systems &amp; Usability HC3)</t>
        </is>
      </c>
      <c r="B12" s="13">
        <f>SUMIF(Assessment!$B$5:$B$20, "Design Prism", Assessment!$H$5:$H$20) / SUMIF(Assessment!$B$5:$B$20, "Design Prism", Assessment!$I$5:$I$20)</f>
        <v/>
      </c>
      <c r="C12" s="14" t="n">
        <v>0.7</v>
      </c>
    </row>
    <row r="13" ht="20" customHeight="1">
      <c r="A13" s="12" t="inlineStr">
        <is>
          <t>Governance and Compliance (NIST/LGPD)</t>
        </is>
      </c>
      <c r="B13" s="13">
        <f>SUMIF(Assessment!$B$5:$B$20, "Governance and Compliance", Assessment!$H$5:$H$20) / SUMIF(Assessment!$B$5:$B$20, "Governance and Compliance", Assessment!$I$5:$I$20)</f>
        <v/>
      </c>
      <c r="C13" s="14" t="n">
        <v>0.8</v>
      </c>
    </row>
    <row r="14" ht="15" customHeight="1"/>
  </sheetData>
  <mergeCells count="9">
    <mergeCell ref="A2:I2"/>
    <mergeCell ref="H6:I6"/>
    <mergeCell ref="H7:I7"/>
    <mergeCell ref="F4:I4"/>
    <mergeCell ref="A1:I1"/>
    <mergeCell ref="C5:D6"/>
    <mergeCell ref="A5:B6"/>
    <mergeCell ref="H5:I5"/>
    <mergeCell ref="H8:I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5" customWidth="1" min="3" max="3"/>
    <col width="45" customWidth="1" min="4" max="4"/>
    <col width="110" customWidth="1" min="5" max="5"/>
    <col width="15" customWidth="1" min="6" max="6"/>
    <col width="15" customWidth="1" min="7" max="7"/>
    <col width="18" customWidth="1" min="8" max="8"/>
    <col width="18" customWidth="1" min="9" max="9"/>
    <col width="15" customWidth="1" min="10" max="10"/>
  </cols>
  <sheetData>
    <row r="1" ht="30" customHeight="1">
      <c r="A1" s="1" t="inlineStr">
        <is>
          <t>DETAILED TRIAXIAL ASSESSMENT AND MATURITY FRAMEWORK</t>
        </is>
      </c>
    </row>
    <row r="2" ht="20" customHeight="1">
      <c r="A2" s="2" t="inlineStr">
        <is>
          <t>Enter scores from 1 to 5 in Column F (Score) to calculate the overall index</t>
        </is>
      </c>
    </row>
    <row r="4" ht="26" customHeight="1">
      <c r="A4" s="4" t="inlineStr">
        <is>
          <t>ID</t>
        </is>
      </c>
      <c r="B4" s="4" t="inlineStr">
        <is>
          <t>Analysis Prism</t>
        </is>
      </c>
      <c r="C4" s="4" t="inlineStr">
        <is>
          <t>Metric / Requirement</t>
        </is>
      </c>
      <c r="D4" s="4" t="inlineStr">
        <is>
          <t>Scientific Reference</t>
        </is>
      </c>
      <c r="E4" s="4" t="inlineStr">
        <is>
          <t>Evidence &amp; Evaluation Criteria</t>
        </is>
      </c>
      <c r="F4" s="4" t="inlineStr">
        <is>
          <t>Score (1-5)</t>
        </is>
      </c>
      <c r="G4" s="4" t="inlineStr">
        <is>
          <t>Weight (1-3)</t>
        </is>
      </c>
      <c r="H4" s="4" t="inlineStr">
        <is>
          <t>Weighted Score</t>
        </is>
      </c>
      <c r="I4" s="4" t="inlineStr">
        <is>
          <t>Max Score</t>
        </is>
      </c>
      <c r="J4" s="4" t="inlineStr">
        <is>
          <t>Progress</t>
        </is>
      </c>
    </row>
    <row r="5" ht="36" customHeight="1">
      <c r="A5" s="8" t="inlineStr">
        <is>
          <t>PS-01</t>
        </is>
      </c>
      <c r="B5" s="12" t="inlineStr">
        <is>
          <t>Psychological Prism</t>
        </is>
      </c>
      <c r="C5" s="9" t="inlineStr">
        <is>
          <t>Control of Amygdala Hijacking</t>
        </is>
      </c>
      <c r="D5" s="15" t="inlineStr">
        <is>
          <t>Santos &amp; Silva (2025); Hadlington (2017)</t>
        </is>
      </c>
      <c r="E5" s="16" t="inlineStr">
        <is>
          <t>Capacity of employees to react reflexively under fear and urgency tactics in Social Engineering.</t>
        </is>
      </c>
      <c r="F5" s="17" t="n">
        <v>3</v>
      </c>
      <c r="G5" s="18" t="n">
        <v>3</v>
      </c>
      <c r="H5" s="19">
        <f>F5*G5</f>
        <v/>
      </c>
      <c r="I5" s="18">
        <f>G5*5</f>
        <v/>
      </c>
      <c r="J5" s="14">
        <f>H5/I5</f>
        <v/>
      </c>
    </row>
    <row r="6" ht="36" customHeight="1">
      <c r="A6" s="20" t="inlineStr">
        <is>
          <t>PS-02</t>
        </is>
      </c>
      <c r="B6" s="21" t="inlineStr">
        <is>
          <t>Psychological Prism</t>
        </is>
      </c>
      <c r="C6" s="22" t="inlineStr">
        <is>
          <t>Attenuation of Automation/Confirmation Biases</t>
        </is>
      </c>
      <c r="D6" s="23" t="inlineStr">
        <is>
          <t>Santos &amp; Silva (2025); Hagen et al. (2025)</t>
        </is>
      </c>
      <c r="E6" s="24" t="inlineStr">
        <is>
          <t>Ability of analysts and end-users to critically evaluate automated AI alerts without blind acceptance.</t>
        </is>
      </c>
      <c r="F6" s="17" t="n">
        <v>3</v>
      </c>
      <c r="G6" s="25" t="n">
        <v>2</v>
      </c>
      <c r="H6" s="19">
        <f>F6*G6</f>
        <v/>
      </c>
      <c r="I6" s="25">
        <f>G6*5</f>
        <v/>
      </c>
      <c r="J6" s="26">
        <f>H6/I6</f>
        <v/>
      </c>
    </row>
    <row r="7" ht="36" customHeight="1">
      <c r="A7" s="8" t="inlineStr">
        <is>
          <t>PS-03</t>
        </is>
      </c>
      <c r="B7" s="12" t="inlineStr">
        <is>
          <t>Psychological Prism</t>
        </is>
      </c>
      <c r="C7" s="9" t="inlineStr">
        <is>
          <t>Self-Efficacy &amp; Digital Literacy</t>
        </is>
      </c>
      <c r="D7" s="15" t="inlineStr">
        <is>
          <t>Santos &amp; Silva (2025); Anwar et al. (2017)</t>
        </is>
      </c>
      <c r="E7" s="16" t="inlineStr">
        <is>
          <t>Adequacy of security campaigns and training according to user socio-demographic and competency profiles.</t>
        </is>
      </c>
      <c r="F7" s="17" t="n">
        <v>3</v>
      </c>
      <c r="G7" s="18" t="n">
        <v>2</v>
      </c>
      <c r="H7" s="19">
        <f>F7*G7</f>
        <v/>
      </c>
      <c r="I7" s="18">
        <f>G7*5</f>
        <v/>
      </c>
      <c r="J7" s="14">
        <f>H7/I7</f>
        <v/>
      </c>
    </row>
    <row r="8" ht="36" customHeight="1">
      <c r="A8" s="20" t="inlineStr">
        <is>
          <t>PS-04</t>
        </is>
      </c>
      <c r="B8" s="21" t="inlineStr">
        <is>
          <t>Psychological Prism</t>
        </is>
      </c>
      <c r="C8" s="22" t="inlineStr">
        <is>
          <t>Susceptibility to Phishing Attacks</t>
        </is>
      </c>
      <c r="D8" s="23" t="inlineStr">
        <is>
          <t>Santos &amp; Silva (2025); Britto (2024)</t>
        </is>
      </c>
      <c r="E8" s="24" t="inlineStr">
        <is>
          <t>Historical performance and behavioral failure rate in controlled corporate phishing simulations.</t>
        </is>
      </c>
      <c r="F8" s="17" t="n">
        <v>3</v>
      </c>
      <c r="G8" s="25" t="n">
        <v>3</v>
      </c>
      <c r="H8" s="19">
        <f>F8*G8</f>
        <v/>
      </c>
      <c r="I8" s="25">
        <f>G8*5</f>
        <v/>
      </c>
      <c r="J8" s="26">
        <f>H8/I8</f>
        <v/>
      </c>
    </row>
    <row r="9" ht="36" customHeight="1">
      <c r="A9" s="8" t="inlineStr">
        <is>
          <t>OR-01</t>
        </is>
      </c>
      <c r="B9" s="12" t="inlineStr">
        <is>
          <t>Organizational Prism</t>
        </is>
      </c>
      <c r="C9" s="9" t="inlineStr">
        <is>
          <t>Knowledge-Behavior Paradox</t>
        </is>
      </c>
      <c r="D9" s="15" t="inlineStr">
        <is>
          <t>Santos &amp; Silva (2025); Georgiadou (2022)</t>
        </is>
      </c>
      <c r="E9" s="16" t="inlineStr">
        <is>
          <t>Degree to which organizational culture translates training into effective real behavior changes.</t>
        </is>
      </c>
      <c r="F9" s="17" t="n">
        <v>3</v>
      </c>
      <c r="G9" s="18" t="n">
        <v>2</v>
      </c>
      <c r="H9" s="19">
        <f>F9*G9</f>
        <v/>
      </c>
      <c r="I9" s="18">
        <f>G9*5</f>
        <v/>
      </c>
      <c r="J9" s="14">
        <f>H9/I9</f>
        <v/>
      </c>
    </row>
    <row r="10" ht="36" customHeight="1">
      <c r="A10" s="20" t="inlineStr">
        <is>
          <t>OR-02</t>
        </is>
      </c>
      <c r="B10" s="21" t="inlineStr">
        <is>
          <t>Organizational Prism</t>
        </is>
      </c>
      <c r="C10" s="22" t="inlineStr">
        <is>
          <t>CSA Effectiveness and Resilience (CTI)</t>
        </is>
      </c>
      <c r="D10" s="23" t="inlineStr">
        <is>
          <t>Santos &amp; Silva (2025); Silva et al. (2025)</t>
        </is>
      </c>
      <c r="E10" s="24" t="inlineStr">
        <is>
          <t>Systematic cross-referencing of training attendance (CSA) with actual credential exposure in CTI databases.</t>
        </is>
      </c>
      <c r="F10" s="17" t="n">
        <v>3</v>
      </c>
      <c r="G10" s="25" t="n">
        <v>3</v>
      </c>
      <c r="H10" s="19">
        <f>F10*G10</f>
        <v/>
      </c>
      <c r="I10" s="25">
        <f>G10*5</f>
        <v/>
      </c>
      <c r="J10" s="26">
        <f>H10/I10</f>
        <v/>
      </c>
    </row>
    <row r="11" ht="36" customHeight="1">
      <c r="A11" s="8" t="inlineStr">
        <is>
          <t>OR-03</t>
        </is>
      </c>
      <c r="B11" s="12" t="inlineStr">
        <is>
          <t>Organizational Prism</t>
        </is>
      </c>
      <c r="C11" s="9" t="inlineStr">
        <is>
          <t>Integrated Intelligence Process</t>
        </is>
      </c>
      <c r="D11" s="15" t="inlineStr">
        <is>
          <t>Tanabe et al. (2022)</t>
        </is>
      </c>
      <c r="E11" s="16" t="inlineStr">
        <is>
          <t>Presence of Direction, Collection, Analysis, Production, and Dissemination phases in security management and decision-making.</t>
        </is>
      </c>
      <c r="F11" s="17" t="n">
        <v>3</v>
      </c>
      <c r="G11" s="18" t="n">
        <v>2</v>
      </c>
      <c r="H11" s="19">
        <f>F11*G11</f>
        <v/>
      </c>
      <c r="I11" s="18">
        <f>G11*5</f>
        <v/>
      </c>
      <c r="J11" s="14">
        <f>H11/I11</f>
        <v/>
      </c>
    </row>
    <row r="12" ht="36" customHeight="1">
      <c r="A12" s="20" t="inlineStr">
        <is>
          <t>OR-04</t>
        </is>
      </c>
      <c r="B12" s="21" t="inlineStr">
        <is>
          <t>Organizational Prism</t>
        </is>
      </c>
      <c r="C12" s="22" t="inlineStr">
        <is>
          <t>CTIR Sharing &amp; Notification</t>
        </is>
      </c>
      <c r="D12" s="23" t="inlineStr">
        <is>
          <t>Airbus (2024); Gabinete de Seg. (IN 04/2020)</t>
        </is>
      </c>
      <c r="E12" s="24" t="inlineStr">
        <is>
          <t>Agile notification of cybersecurity incidents to CTIR Gov within the legal two-hour timeframe.</t>
        </is>
      </c>
      <c r="F12" s="17" t="n">
        <v>3</v>
      </c>
      <c r="G12" s="25" t="n">
        <v>2</v>
      </c>
      <c r="H12" s="19">
        <f>F12*G12</f>
        <v/>
      </c>
      <c r="I12" s="25">
        <f>G12*5</f>
        <v/>
      </c>
      <c r="J12" s="26">
        <f>H12/I12</f>
        <v/>
      </c>
    </row>
    <row r="13" ht="36" customHeight="1">
      <c r="A13" s="8" t="inlineStr">
        <is>
          <t>DS-01</t>
        </is>
      </c>
      <c r="B13" s="12" t="inlineStr">
        <is>
          <t>Design Prism</t>
        </is>
      </c>
      <c r="C13" s="9" t="inlineStr">
        <is>
          <t>Use of HC3 Framework</t>
        </is>
      </c>
      <c r="D13" s="15" t="inlineStr">
        <is>
          <t>Santos &amp; Silva (2025); Cristiano &amp; Spadafora (2024)</t>
        </is>
      </c>
      <c r="E13" s="16" t="inlineStr">
        <is>
          <t>Use of Personas, User Journeys, and Service Blueprints to build usable cryptographic interfaces.</t>
        </is>
      </c>
      <c r="F13" s="17" t="n">
        <v>3</v>
      </c>
      <c r="G13" s="18" t="n">
        <v>3</v>
      </c>
      <c r="H13" s="19">
        <f>F13*G13</f>
        <v/>
      </c>
      <c r="I13" s="18">
        <f>G13*5</f>
        <v/>
      </c>
      <c r="J13" s="14">
        <f>H13/I13</f>
        <v/>
      </c>
    </row>
    <row r="14" ht="36" customHeight="1">
      <c r="A14" s="20" t="inlineStr">
        <is>
          <t>DS-02</t>
        </is>
      </c>
      <c r="B14" s="21" t="inlineStr">
        <is>
          <t>Design Prism</t>
        </is>
      </c>
      <c r="C14" s="22" t="inlineStr">
        <is>
          <t>Cognitive Load and Authentication Friction</t>
        </is>
      </c>
      <c r="D14" s="23" t="inlineStr">
        <is>
          <t>Santos &amp; Silva (2025); Triplett (2022)</t>
        </is>
      </c>
      <c r="E14" s="24" t="inlineStr">
        <is>
          <t>Use of designs that facilitate intuitive security behavior without excessive usability friction.</t>
        </is>
      </c>
      <c r="F14" s="17" t="n">
        <v>3</v>
      </c>
      <c r="G14" s="25" t="n">
        <v>2</v>
      </c>
      <c r="H14" s="19">
        <f>F14*G14</f>
        <v/>
      </c>
      <c r="I14" s="25">
        <f>G14*5</f>
        <v/>
      </c>
      <c r="J14" s="26">
        <f>H14/I14</f>
        <v/>
      </c>
    </row>
    <row r="15" ht="36" customHeight="1">
      <c r="A15" s="8" t="inlineStr">
        <is>
          <t>DS-03</t>
        </is>
      </c>
      <c r="B15" s="12" t="inlineStr">
        <is>
          <t>Design Prism</t>
        </is>
      </c>
      <c r="C15" s="9" t="inlineStr">
        <is>
          <t>Security by Design &amp; Human Oversight</t>
        </is>
      </c>
      <c r="D15" s="15" t="inlineStr">
        <is>
          <t>Santos &amp; Silva (2025); Gutzwiller et al. (2021)</t>
        </is>
      </c>
      <c r="E15" s="16" t="inlineStr">
        <is>
          <t>Design of cyber automation processes that preserve and provide feedback for user oversight capacity.</t>
        </is>
      </c>
      <c r="F15" s="17" t="n">
        <v>3</v>
      </c>
      <c r="G15" s="18" t="n">
        <v>2</v>
      </c>
      <c r="H15" s="19">
        <f>F15*G15</f>
        <v/>
      </c>
      <c r="I15" s="18">
        <f>G15*5</f>
        <v/>
      </c>
      <c r="J15" s="14">
        <f>H15/I15</f>
        <v/>
      </c>
    </row>
    <row r="16" ht="36" customHeight="1">
      <c r="A16" s="20" t="inlineStr">
        <is>
          <t>DS-04</t>
        </is>
      </c>
      <c r="B16" s="21" t="inlineStr">
        <is>
          <t>Design Prism</t>
        </is>
      </c>
      <c r="C16" s="22" t="inlineStr">
        <is>
          <t>Shadow IT &amp; BYOD Management</t>
        </is>
      </c>
      <c r="D16" s="23" t="inlineStr">
        <is>
          <t>Fernandes et al. (2021)</t>
        </is>
      </c>
      <c r="E16" s="24" t="inlineStr">
        <is>
          <t>Existence of approved software, routines, and user-friendly interfaces to manage BYOD devices.</t>
        </is>
      </c>
      <c r="F16" s="17" t="n">
        <v>3</v>
      </c>
      <c r="G16" s="25" t="n">
        <v>1</v>
      </c>
      <c r="H16" s="19">
        <f>F16*G16</f>
        <v/>
      </c>
      <c r="I16" s="25">
        <f>G16*5</f>
        <v/>
      </c>
      <c r="J16" s="26">
        <f>H16/I16</f>
        <v/>
      </c>
    </row>
    <row r="17" ht="36" customHeight="1">
      <c r="A17" s="8" t="inlineStr">
        <is>
          <t>GO-01</t>
        </is>
      </c>
      <c r="B17" s="12" t="inlineStr">
        <is>
          <t>Governance and Compliance</t>
        </is>
      </c>
      <c r="C17" s="9" t="inlineStr">
        <is>
          <t>NIST SP 800-53 Governance</t>
        </is>
      </c>
      <c r="D17" s="15" t="inlineStr">
        <is>
          <t>Airbus (2024); NIST (2023)</t>
        </is>
      </c>
      <c r="E17" s="16" t="inlineStr">
        <is>
          <t>Implementation of structured Governance (PM), Access Control (AC), and System Audit (CA) controls.</t>
        </is>
      </c>
      <c r="F17" s="17" t="n">
        <v>3</v>
      </c>
      <c r="G17" s="18" t="n">
        <v>3</v>
      </c>
      <c r="H17" s="19">
        <f>F17*G17</f>
        <v/>
      </c>
      <c r="I17" s="18">
        <f>G17*5</f>
        <v/>
      </c>
      <c r="J17" s="14">
        <f>H17/I17</f>
        <v/>
      </c>
    </row>
    <row r="18" ht="36" customHeight="1">
      <c r="A18" s="20" t="inlineStr">
        <is>
          <t>GO-02</t>
        </is>
      </c>
      <c r="B18" s="21" t="inlineStr">
        <is>
          <t>Governance and Compliance</t>
        </is>
      </c>
      <c r="C18" s="22" t="inlineStr">
        <is>
          <t>NIST SP 800-53 Detection &amp; Response</t>
        </is>
      </c>
      <c r="D18" s="23" t="inlineStr">
        <is>
          <t>Airbus (2024); NIST (2023)</t>
        </is>
      </c>
      <c r="E18" s="24" t="inlineStr">
        <is>
          <t>Implementation of continuous monitoring (AU), transparency (PT), response (IR), and contingency (CP) routines.</t>
        </is>
      </c>
      <c r="F18" s="17" t="n">
        <v>3</v>
      </c>
      <c r="G18" s="25" t="n">
        <v>3</v>
      </c>
      <c r="H18" s="19">
        <f>F18*G18</f>
        <v/>
      </c>
      <c r="I18" s="25">
        <f>G18*5</f>
        <v/>
      </c>
      <c r="J18" s="26">
        <f>H18/I18</f>
        <v/>
      </c>
    </row>
    <row r="19" ht="36" customHeight="1">
      <c r="A19" s="8" t="inlineStr">
        <is>
          <t>GO-03</t>
        </is>
      </c>
      <c r="B19" s="12" t="inlineStr">
        <is>
          <t>Governance and Compliance</t>
        </is>
      </c>
      <c r="C19" s="9" t="inlineStr">
        <is>
          <t>LGPD Privacy Principles</t>
        </is>
      </c>
      <c r="D19" s="15" t="inlineStr">
        <is>
          <t>Fernandes et al. (2021); Brasil (2018)</t>
        </is>
      </c>
      <c r="E19" s="16" t="inlineStr">
        <is>
          <t>Strict compliance with minimization, adequacy, and storage principles in the use of cloud computing.</t>
        </is>
      </c>
      <c r="F19" s="17" t="n">
        <v>3</v>
      </c>
      <c r="G19" s="18" t="n">
        <v>2</v>
      </c>
      <c r="H19" s="19">
        <f>F19*G19</f>
        <v/>
      </c>
      <c r="I19" s="18">
        <f>G19*5</f>
        <v/>
      </c>
      <c r="J19" s="14">
        <f>H19/I19</f>
        <v/>
      </c>
    </row>
    <row r="20" ht="36" customHeight="1">
      <c r="A20" s="20" t="inlineStr">
        <is>
          <t>GO-04</t>
        </is>
      </c>
      <c r="B20" s="21" t="inlineStr">
        <is>
          <t>Governance and Compliance</t>
        </is>
      </c>
      <c r="C20" s="22" t="inlineStr">
        <is>
          <t>OSINT Shielding &amp; Risk Score</t>
        </is>
      </c>
      <c r="D20" s="23" t="inlineStr">
        <is>
          <t>Jesus et al. (2023)</t>
        </is>
      </c>
      <c r="E20" s="24" t="inlineStr">
        <is>
          <t>Utilization of open government source intelligence for registration data validation and fraud prevention.</t>
        </is>
      </c>
      <c r="F20" s="17" t="n">
        <v>3</v>
      </c>
      <c r="G20" s="25" t="n">
        <v>1</v>
      </c>
      <c r="H20" s="19">
        <f>F20*G20</f>
        <v/>
      </c>
      <c r="I20" s="25">
        <f>G20*5</f>
        <v/>
      </c>
      <c r="J20" s="26">
        <f>H20/I20</f>
        <v/>
      </c>
    </row>
    <row r="21" ht="24" customHeight="1">
      <c r="A21" s="40" t="inlineStr">
        <is>
          <t>TOTALS &amp; AVERAGES</t>
        </is>
      </c>
      <c r="B21" s="39" t="n"/>
      <c r="C21" s="39" t="n"/>
      <c r="D21" s="39" t="n"/>
      <c r="E21" s="39" t="n"/>
      <c r="F21" s="29">
        <f>AVERAGE(F5:F20)</f>
        <v/>
      </c>
      <c r="G21" s="30">
        <f>SUM(G5:G20)</f>
        <v/>
      </c>
      <c r="H21" s="31">
        <f>SUM(H5:H20)</f>
        <v/>
      </c>
      <c r="I21" s="30">
        <f>SUM(I5:I20)</f>
        <v/>
      </c>
      <c r="J21" s="32">
        <f>H21/I21</f>
        <v/>
      </c>
    </row>
  </sheetData>
  <mergeCells count="3">
    <mergeCell ref="A21:E21"/>
    <mergeCell ref="A1:J1"/>
    <mergeCell ref="A2:J2"/>
  </mergeCells>
  <dataValidations count="1">
    <dataValidation sqref="F5:F20" showDropDown="0" showInputMessage="0" showErrorMessage="0" allowBlank="0" errorTitle="Nota Inválida" error="A nota inserida deve ser um número inteiro de 1 a 5." promptTitle="Pontuação do Processo" prompt="Insira uma pontuação para a maturidade de 1 (Muito Fraco/Crítico) a 5 (Líder/Resiliente).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2026-08-17T20:45:56Z</dcterms:created>
  <dcterms:modified xmlns:dcterms="http://purl.org/dc/terms/" xmlns:xsi="http://www.w3.org/2001/XMLSchema-instance" xsi:type="dcterms:W3CDTF">2026-08-17T21:39:06Z</dcterms:modified>
</cp:coreProperties>
</file>