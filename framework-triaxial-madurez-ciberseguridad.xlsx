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 de Control" sheetId="1" state="visible" r:id="rId1"/>
    <sheet name="Evalua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sz val="11"/>
    </font>
    <font>
      <name val="Calibri"/>
      <b val="1"/>
      <color rgb="001F497D"/>
      <sz val="24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sz val="11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15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1F497D"/>
      </bottom>
    </border>
    <border>
      <top style="thin">
        <color rgb="00D3D3D3"/>
      </top>
      <bottom style="double">
        <color rgb="001F497D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  <border>
      <left/>
      <right/>
      <top style="thin">
        <color rgb="00D3D3D3"/>
      </top>
      <bottom style="medium">
        <color rgb="001F497D"/>
      </bottom>
      <diagonal/>
    </border>
    <border>
      <left/>
      <right style="thin">
        <color rgb="00D3D3D3"/>
      </right>
      <top style="thin">
        <color rgb="00D3D3D3"/>
      </top>
      <bottom style="medium">
        <color rgb="001F497D"/>
      </bottom>
      <diagonal/>
    </border>
    <border>
      <left style="thin">
        <color rgb="00D3D3D3"/>
      </left>
      <right/>
      <top/>
      <bottom/>
      <diagonal/>
    </border>
    <border>
      <left/>
      <right style="thin">
        <color rgb="00D3D3D3"/>
      </right>
      <top/>
      <bottom/>
      <diagonal/>
    </border>
    <border>
      <left style="thin">
        <color rgb="00D3D3D3"/>
      </left>
      <right/>
      <top/>
      <bottom style="thin">
        <color rgb="00D3D3D3"/>
      </bottom>
      <diagonal/>
    </border>
    <border>
      <left/>
      <right style="thin">
        <color rgb="00D3D3D3"/>
      </right>
      <top/>
      <bottom style="thin">
        <color rgb="00D3D3D3"/>
      </bottom>
      <diagonal/>
    </border>
    <border>
      <left/>
      <right/>
      <top style="thin">
        <color rgb="00D3D3D3"/>
      </top>
      <bottom style="double">
        <color rgb="001F497D"/>
      </bottom>
      <diagonal/>
    </border>
    <border>
      <right/>
      <top style="thin">
        <color rgb="00D3D3D3"/>
      </top>
      <bottom style="double">
        <color rgb="001F497D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7" fillId="0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right" vertical="center"/>
    </xf>
    <xf numFmtId="0" fontId="0" fillId="0" borderId="3" pivotButton="0" quotePrefix="0" xfId="0"/>
    <xf numFmtId="165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3" fillId="0" borderId="1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Niveles de Madurez vs. Mínimo Deseado por Prisma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'Panel de Control'!B9</f>
            </strRef>
          </tx>
          <spPr>
            <a:ln>
              <a:prstDash val="solid"/>
            </a:ln>
          </spPr>
          <cat>
            <numRef>
              <f>'Panel de Control'!$A$10:$A$13</f>
            </numRef>
          </cat>
          <val>
            <numRef>
              <f>'Panel de Control'!$B$10:$B$13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Prismas de Análisis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Nivel de Madurez (%)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30" customWidth="1" min="3" max="3"/>
    <col width="15" customWidth="1" min="4" max="4"/>
    <col width="5" customWidth="1" min="5" max="5"/>
    <col width="12" customWidth="1" min="6" max="6"/>
    <col width="25" customWidth="1" min="7" max="7"/>
    <col width="85" customWidth="1" min="8" max="8"/>
    <col width="35" customWidth="1" min="9" max="9"/>
  </cols>
  <sheetData>
    <row r="1" ht="30" customHeight="1">
      <c r="A1" s="1" t="inlineStr">
        <is>
          <t>FRAMEWORK TRIAXIAL DE MADUREZ EN CIBERSEGURIDAD</t>
        </is>
      </c>
    </row>
    <row r="2" ht="20" customHeight="1">
      <c r="A2" s="2" t="inlineStr">
        <is>
          <t>Factores Humanos, Cultura Organizacional y Usabilidad de Sistemas Seguros (UCD/HC3)</t>
        </is>
      </c>
    </row>
    <row r="4">
      <c r="A4" s="3" t="inlineStr">
        <is>
          <t>ÍNDICE GENERAL DE MADUREZ</t>
        </is>
      </c>
      <c r="C4" s="3" t="inlineStr">
        <is>
          <t>CATEGORÍA DE MADUREZ</t>
        </is>
      </c>
      <c r="F4" s="4" t="inlineStr">
        <is>
          <t>TABLA DE REFERENCIA Y NIVELES DE MADUREZ</t>
        </is>
      </c>
      <c r="G4" s="33" t="n"/>
      <c r="H4" s="33" t="n"/>
      <c r="I4" s="34" t="n"/>
    </row>
    <row r="5" ht="40" customHeight="1">
      <c r="A5" s="5">
        <f>Evaluación!H21/Evaluación!I21</f>
        <v/>
      </c>
      <c r="B5" s="35" t="n"/>
      <c r="C5" s="7">
        <f>IF(A5&lt;0.4, "Vulnerable / Crítico", IF(A5&lt;0.6, "Reactivo / Básico", IF(A5&lt;0.8, "Proactivo / Gestionado", "Resiliente / Optimizado")))</f>
        <v/>
      </c>
      <c r="D5" s="35" t="n"/>
      <c r="F5" s="8" t="inlineStr">
        <is>
          <t>0% - 40%</t>
        </is>
      </c>
      <c r="G5" s="9" t="inlineStr">
        <is>
          <t>Vulnerable / Crítico</t>
        </is>
      </c>
      <c r="H5" s="10" t="inlineStr">
        <is>
          <t>Alto riesgo de Secuestro de la Amígdala (Amygdala Hijacking), alta tasa de exposición de credenciales (Silva et al., 2025) y baja usabilidad de los sistemas seguros.</t>
        </is>
      </c>
      <c r="I5" s="36" t="n"/>
    </row>
    <row r="6" ht="40" customHeight="1">
      <c r="A6" s="37" t="n"/>
      <c r="B6" s="38" t="n"/>
      <c r="C6" s="37" t="n"/>
      <c r="D6" s="38" t="n"/>
      <c r="F6" s="8" t="inlineStr">
        <is>
          <t>41% - 60%</t>
        </is>
      </c>
      <c r="G6" s="9" t="inlineStr">
        <is>
          <t>Reactivo / Básico</t>
        </is>
      </c>
      <c r="H6" s="10" t="inlineStr">
        <is>
          <t>Políticas de TI reactivas (paradoja CAC). Los usuarios solo firman los términos de la política sin compromiso activo. Shadow IT y BYOD no están controlados.</t>
        </is>
      </c>
      <c r="I6" s="36" t="n"/>
    </row>
    <row r="7" ht="40" customHeight="1">
      <c r="F7" s="8" t="inlineStr">
        <is>
          <t>61% - 80%</t>
        </is>
      </c>
      <c r="G7" s="9" t="inlineStr">
        <is>
          <t>Proactivo / Gestionado</t>
        </is>
      </c>
      <c r="H7" s="10" t="inlineStr">
        <is>
          <t>La CTI de credenciales (Silva et al.) se utiliza para retroalimentar las campañas de concienciación en seguridad (CSA). Diseño centrado en el usuario parcial.</t>
        </is>
      </c>
      <c r="I7" s="36" t="n"/>
    </row>
    <row r="8" ht="40" customHeight="1">
      <c r="A8" s="11" t="inlineStr">
        <is>
          <t>DESEMPEÑO POR PRISMA (DIMENSIÓN)</t>
        </is>
      </c>
      <c r="F8" s="8" t="inlineStr">
        <is>
          <t>81% - 100%</t>
        </is>
      </c>
      <c r="G8" s="9" t="inlineStr">
        <is>
          <t>Resiliente / Optimizado</t>
        </is>
      </c>
      <c r="H8" s="10" t="inlineStr">
        <is>
          <t>Madurez líder. Interfaces seguras resistentes por diseño (HC3), cultura resiliente integrada y cumplimiento nativo con NIST y LGPD.</t>
        </is>
      </c>
      <c r="I8" s="36" t="n"/>
    </row>
    <row r="9" ht="24" customHeight="1">
      <c r="A9" s="4" t="inlineStr">
        <is>
          <t>Prisma de Análisis (Dimensión)</t>
        </is>
      </c>
      <c r="B9" s="4" t="inlineStr">
        <is>
          <t>Puntuación General (Madurez %)</t>
        </is>
      </c>
      <c r="C9" s="4" t="inlineStr">
        <is>
          <t>Madurez Mínima Deseada</t>
        </is>
      </c>
    </row>
    <row r="10" ht="20" customHeight="1">
      <c r="A10" s="12" t="inlineStr">
        <is>
          <t>Prisma Psicológico (Factores Humanos y Sesgos)</t>
        </is>
      </c>
      <c r="B10" s="13">
        <f>SUMIF(Evaluación!$B$5:$B$20, "Prisma Psicológico", Evaluación!$H$5:$H$20) / SUMIF(Evaluación!$B$5:$B$20, "Prisma Psicológico", Evaluación!$I$5:$I$20)</f>
        <v/>
      </c>
      <c r="C10" s="14" t="n">
        <v>0.7</v>
      </c>
    </row>
    <row r="11" ht="20" customHeight="1">
      <c r="A11" s="12" t="inlineStr">
        <is>
          <t>Prisma Organizacional (Inteligencia y Cultura)</t>
        </is>
      </c>
      <c r="B11" s="13">
        <f>SUMIF(Evaluación!$B$5:$B$20, "Prisma Organizacional", Evaluación!$H$5:$H$20) / SUMIF(Evaluación!$B$5:$B$20, "Prisma Organizacional", Evaluación!$I$5:$I$20)</f>
        <v/>
      </c>
      <c r="C11" s="14" t="n">
        <v>0.75</v>
      </c>
    </row>
    <row r="12" ht="20" customHeight="1">
      <c r="A12" s="12" t="inlineStr">
        <is>
          <t>Prisma de Diseño (Sistemas y Usabilidad HC3)</t>
        </is>
      </c>
      <c r="B12" s="13">
        <f>SUMIF(Evaluación!$B$5:$B$20, "Prisma de Diseño", Evaluación!$H$5:$H$20) / SUMIF(Evaluación!$B$5:$B$20, "Prisma de Diseño", Evaluación!$I$5:$I$20)</f>
        <v/>
      </c>
      <c r="C12" s="14" t="n">
        <v>0.7</v>
      </c>
    </row>
    <row r="13" ht="20" customHeight="1">
      <c r="A13" s="12" t="inlineStr">
        <is>
          <t>Gobernanza y Cumplimiento (NIST/LGPD)</t>
        </is>
      </c>
      <c r="B13" s="13">
        <f>SUMIF(Evaluación!$B$5:$B$20, "Gobernanza y Cumplimiento", Evaluación!$H$5:$H$20) / SUMIF(Evaluación!$B$5:$B$20, "Gobernanza y Cumplimiento", Evaluación!$I$5:$I$20)</f>
        <v/>
      </c>
      <c r="C13" s="14" t="n">
        <v>0.8</v>
      </c>
    </row>
    <row r="14" ht="15" customHeight="1"/>
  </sheetData>
  <mergeCells count="9">
    <mergeCell ref="A2:I2"/>
    <mergeCell ref="H6:I6"/>
    <mergeCell ref="H7:I7"/>
    <mergeCell ref="F4:I4"/>
    <mergeCell ref="A1:I1"/>
    <mergeCell ref="C5:D6"/>
    <mergeCell ref="A5:B6"/>
    <mergeCell ref="H5:I5"/>
    <mergeCell ref="H8:I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5" customWidth="1" min="3" max="3"/>
    <col width="45" customWidth="1" min="4" max="4"/>
    <col width="110" customWidth="1" min="5" max="5"/>
    <col width="15" customWidth="1" min="6" max="6"/>
    <col width="15" customWidth="1" min="7" max="7"/>
    <col width="18" customWidth="1" min="8" max="8"/>
    <col width="18" customWidth="1" min="9" max="9"/>
    <col width="15" customWidth="1" min="10" max="10"/>
  </cols>
  <sheetData>
    <row r="1" ht="30" customHeight="1">
      <c r="A1" s="1" t="inlineStr">
        <is>
          <t>EVALUACIÓN TRIAXIAL DETALLADA Y FRAMEWORK DE MADUREZ</t>
        </is>
      </c>
    </row>
    <row r="2" ht="20" customHeight="1">
      <c r="A2" s="2" t="inlineStr">
        <is>
          <t>Ingrese puntuaciones de 1 a 5 en la Columna F (Puntuación) para calcular el índice general</t>
        </is>
      </c>
    </row>
    <row r="4" ht="26" customHeight="1">
      <c r="A4" s="4" t="inlineStr">
        <is>
          <t>ID</t>
        </is>
      </c>
      <c r="B4" s="4" t="inlineStr">
        <is>
          <t>Prisma de Análisis</t>
        </is>
      </c>
      <c r="C4" s="4" t="inlineStr">
        <is>
          <t>Métrica / Requisito</t>
        </is>
      </c>
      <c r="D4" s="4" t="inlineStr">
        <is>
          <t>Referencia Científica</t>
        </is>
      </c>
      <c r="E4" s="4" t="inlineStr">
        <is>
          <t>Evidencia y Criterios de Evaluación</t>
        </is>
      </c>
      <c r="F4" s="4" t="inlineStr">
        <is>
          <t>Puntuación (1-5)</t>
        </is>
      </c>
      <c r="G4" s="4" t="inlineStr">
        <is>
          <t>Peso (1-3)</t>
        </is>
      </c>
      <c r="H4" s="4" t="inlineStr">
        <is>
          <t>Puntuación Ponderada</t>
        </is>
      </c>
      <c r="I4" s="4" t="inlineStr">
        <is>
          <t>Puntuación Máxima</t>
        </is>
      </c>
      <c r="J4" s="4" t="inlineStr">
        <is>
          <t>Progreso</t>
        </is>
      </c>
    </row>
    <row r="5" ht="36" customHeight="1">
      <c r="A5" s="8" t="inlineStr">
        <is>
          <t>PS-01</t>
        </is>
      </c>
      <c r="B5" s="12" t="inlineStr">
        <is>
          <t>Prisma Psicológico</t>
        </is>
      </c>
      <c r="C5" s="9" t="inlineStr">
        <is>
          <t>Control del Secuestro de la Amígdala (Amygdala Hijacking)</t>
        </is>
      </c>
      <c r="D5" s="15" t="inlineStr">
        <is>
          <t>Santos &amp; Silva (2025); Hadlington (2017)</t>
        </is>
      </c>
      <c r="E5" s="16" t="inlineStr">
        <is>
          <t>Capacidad de los empleados para reaccionar de forma reflexiva ante tácticas de miedo y urgencia en Ingeniería Social.</t>
        </is>
      </c>
      <c r="F5" s="17" t="n">
        <v>3</v>
      </c>
      <c r="G5" s="18" t="n">
        <v>3</v>
      </c>
      <c r="H5" s="19">
        <f>F5*G5</f>
        <v/>
      </c>
      <c r="I5" s="18">
        <f>G5*5</f>
        <v/>
      </c>
      <c r="J5" s="14">
        <f>H5/I5</f>
        <v/>
      </c>
    </row>
    <row r="6" ht="36" customHeight="1">
      <c r="A6" s="20" t="inlineStr">
        <is>
          <t>PS-02</t>
        </is>
      </c>
      <c r="B6" s="21" t="inlineStr">
        <is>
          <t>Prisma Psicológico</t>
        </is>
      </c>
      <c r="C6" s="22" t="inlineStr">
        <is>
          <t>Atenuación de los Sesgos de Automatización/Confirmación</t>
        </is>
      </c>
      <c r="D6" s="23" t="inlineStr">
        <is>
          <t>Santos &amp; Silva (2025); Hagen et al. (2025)</t>
        </is>
      </c>
      <c r="E6" s="24" t="inlineStr">
        <is>
          <t>Capacidad de analistas y usuarios finales para evaluar críticamente las alertas automatizadas de IA sin aceptación ciega.</t>
        </is>
      </c>
      <c r="F6" s="17" t="n">
        <v>3</v>
      </c>
      <c r="G6" s="25" t="n">
        <v>2</v>
      </c>
      <c r="H6" s="19">
        <f>F6*G6</f>
        <v/>
      </c>
      <c r="I6" s="25">
        <f>G6*5</f>
        <v/>
      </c>
      <c r="J6" s="26">
        <f>H6/I6</f>
        <v/>
      </c>
    </row>
    <row r="7" ht="36" customHeight="1">
      <c r="A7" s="8" t="inlineStr">
        <is>
          <t>PS-03</t>
        </is>
      </c>
      <c r="B7" s="12" t="inlineStr">
        <is>
          <t>Prisma Psicológico</t>
        </is>
      </c>
      <c r="C7" s="9" t="inlineStr">
        <is>
          <t>Autoeficacia y Alfabetización Digital</t>
        </is>
      </c>
      <c r="D7" s="15" t="inlineStr">
        <is>
          <t>Santos &amp; Silva (2025); Anwar et al. (2017)</t>
        </is>
      </c>
      <c r="E7" s="16" t="inlineStr">
        <is>
          <t>Adecuación de las campañas y capacitaciones de seguridad al perfil sociodemográfico y de competencia de los usuarios.</t>
        </is>
      </c>
      <c r="F7" s="17" t="n">
        <v>3</v>
      </c>
      <c r="G7" s="18" t="n">
        <v>2</v>
      </c>
      <c r="H7" s="19">
        <f>F7*G7</f>
        <v/>
      </c>
      <c r="I7" s="18">
        <f>G7*5</f>
        <v/>
      </c>
      <c r="J7" s="14">
        <f>H7/I7</f>
        <v/>
      </c>
    </row>
    <row r="8" ht="36" customHeight="1">
      <c r="A8" s="20" t="inlineStr">
        <is>
          <t>PS-04</t>
        </is>
      </c>
      <c r="B8" s="21" t="inlineStr">
        <is>
          <t>Prisma Psicológico</t>
        </is>
      </c>
      <c r="C8" s="22" t="inlineStr">
        <is>
          <t>Susceptibilidad a Ataques de Phishing</t>
        </is>
      </c>
      <c r="D8" s="23" t="inlineStr">
        <is>
          <t>Santos &amp; Silva (2025); Britto (2024)</t>
        </is>
      </c>
      <c r="E8" s="24" t="inlineStr">
        <is>
          <t>Desempeño histórico y tasa de fallo conductual en simulaciones controladas de phishing corporativo.</t>
        </is>
      </c>
      <c r="F8" s="17" t="n">
        <v>3</v>
      </c>
      <c r="G8" s="25" t="n">
        <v>3</v>
      </c>
      <c r="H8" s="19">
        <f>F8*G8</f>
        <v/>
      </c>
      <c r="I8" s="25">
        <f>G8*5</f>
        <v/>
      </c>
      <c r="J8" s="26">
        <f>H8/I8</f>
        <v/>
      </c>
    </row>
    <row r="9" ht="36" customHeight="1">
      <c r="A9" s="8" t="inlineStr">
        <is>
          <t>OR-01</t>
        </is>
      </c>
      <c r="B9" s="12" t="inlineStr">
        <is>
          <t>Prisma Organizacional</t>
        </is>
      </c>
      <c r="C9" s="9" t="inlineStr">
        <is>
          <t>Paradoja Conocimiento-Comportamiento</t>
        </is>
      </c>
      <c r="D9" s="15" t="inlineStr">
        <is>
          <t>Santos &amp; Silva (2025); Georgiadou (2022)</t>
        </is>
      </c>
      <c r="E9" s="16" t="inlineStr">
        <is>
          <t>Grado en que la cultura organizacional traduce la capacitación en cambios de comportamiento reales y efectivos.</t>
        </is>
      </c>
      <c r="F9" s="17" t="n">
        <v>3</v>
      </c>
      <c r="G9" s="18" t="n">
        <v>2</v>
      </c>
      <c r="H9" s="19">
        <f>F9*G9</f>
        <v/>
      </c>
      <c r="I9" s="18">
        <f>G9*5</f>
        <v/>
      </c>
      <c r="J9" s="14">
        <f>H9/I9</f>
        <v/>
      </c>
    </row>
    <row r="10" ht="36" customHeight="1">
      <c r="A10" s="20" t="inlineStr">
        <is>
          <t>OR-02</t>
        </is>
      </c>
      <c r="B10" s="21" t="inlineStr">
        <is>
          <t>Prisma Organizacional</t>
        </is>
      </c>
      <c r="C10" s="22" t="inlineStr">
        <is>
          <t>Efectividad y Resiliencia del CSA (CTI)</t>
        </is>
      </c>
      <c r="D10" s="23" t="inlineStr">
        <is>
          <t>Santos &amp; Silva (2025); Silva et al. (2025)</t>
        </is>
      </c>
      <c r="E10" s="24" t="inlineStr">
        <is>
          <t>Cruce sistemático de la participación en capacitaciones (CSA) con la exposición real de credenciales en bases de datos de CTI.</t>
        </is>
      </c>
      <c r="F10" s="17" t="n">
        <v>3</v>
      </c>
      <c r="G10" s="25" t="n">
        <v>3</v>
      </c>
      <c r="H10" s="19">
        <f>F10*G10</f>
        <v/>
      </c>
      <c r="I10" s="25">
        <f>G10*5</f>
        <v/>
      </c>
      <c r="J10" s="26">
        <f>H10/I10</f>
        <v/>
      </c>
    </row>
    <row r="11" ht="36" customHeight="1">
      <c r="A11" s="8" t="inlineStr">
        <is>
          <t>OR-03</t>
        </is>
      </c>
      <c r="B11" s="12" t="inlineStr">
        <is>
          <t>Prisma Organizacional</t>
        </is>
      </c>
      <c r="C11" s="9" t="inlineStr">
        <is>
          <t>Proceso de Inteligencia Integrada</t>
        </is>
      </c>
      <c r="D11" s="15" t="inlineStr">
        <is>
          <t>Tanabe et al. (2022)</t>
        </is>
      </c>
      <c r="E11" s="16" t="inlineStr">
        <is>
          <t>Presencia de las fases de Dirección, Recolección, Análisis, Producción y Difusión en la gestión de seguridad y la toma de decisiones.</t>
        </is>
      </c>
      <c r="F11" s="17" t="n">
        <v>3</v>
      </c>
      <c r="G11" s="18" t="n">
        <v>2</v>
      </c>
      <c r="H11" s="19">
        <f>F11*G11</f>
        <v/>
      </c>
      <c r="I11" s="18">
        <f>G11*5</f>
        <v/>
      </c>
      <c r="J11" s="14">
        <f>H11/I11</f>
        <v/>
      </c>
    </row>
    <row r="12" ht="36" customHeight="1">
      <c r="A12" s="20" t="inlineStr">
        <is>
          <t>OR-04</t>
        </is>
      </c>
      <c r="B12" s="21" t="inlineStr">
        <is>
          <t>Prisma Organizacional</t>
        </is>
      </c>
      <c r="C12" s="22" t="inlineStr">
        <is>
          <t>Compartición y Notificación al CTIR</t>
        </is>
      </c>
      <c r="D12" s="23" t="inlineStr">
        <is>
          <t>Airbus (2024); Gabinete de Seg. (IN 04/2020)</t>
        </is>
      </c>
      <c r="E12" s="24" t="inlineStr">
        <is>
          <t>Notificación ágil de incidentes de ciberseguridad al CTIR Gov dentro del plazo legal de dos horas.</t>
        </is>
      </c>
      <c r="F12" s="17" t="n">
        <v>3</v>
      </c>
      <c r="G12" s="25" t="n">
        <v>2</v>
      </c>
      <c r="H12" s="19">
        <f>F12*G12</f>
        <v/>
      </c>
      <c r="I12" s="25">
        <f>G12*5</f>
        <v/>
      </c>
      <c r="J12" s="26">
        <f>H12/I12</f>
        <v/>
      </c>
    </row>
    <row r="13" ht="36" customHeight="1">
      <c r="A13" s="8" t="inlineStr">
        <is>
          <t>DS-01</t>
        </is>
      </c>
      <c r="B13" s="12" t="inlineStr">
        <is>
          <t>Prisma de Diseño</t>
        </is>
      </c>
      <c r="C13" s="9" t="inlineStr">
        <is>
          <t>Uso del Framework HC3</t>
        </is>
      </c>
      <c r="D13" s="15" t="inlineStr">
        <is>
          <t>Santos &amp; Silva (2025); Cristiano &amp; Spadafora (2024)</t>
        </is>
      </c>
      <c r="E13" s="16" t="inlineStr">
        <is>
          <t>Uso de Personas, User Journeys y Service Blueprints para construir interfaces criptográficas utilizables.</t>
        </is>
      </c>
      <c r="F13" s="17" t="n">
        <v>3</v>
      </c>
      <c r="G13" s="18" t="n">
        <v>3</v>
      </c>
      <c r="H13" s="19">
        <f>F13*G13</f>
        <v/>
      </c>
      <c r="I13" s="18">
        <f>G13*5</f>
        <v/>
      </c>
      <c r="J13" s="14">
        <f>H13/I13</f>
        <v/>
      </c>
    </row>
    <row r="14" ht="36" customHeight="1">
      <c r="A14" s="20" t="inlineStr">
        <is>
          <t>DS-02</t>
        </is>
      </c>
      <c r="B14" s="21" t="inlineStr">
        <is>
          <t>Prisma de Diseño</t>
        </is>
      </c>
      <c r="C14" s="22" t="inlineStr">
        <is>
          <t>Carga Cognitiva y Fricción de Autenticación</t>
        </is>
      </c>
      <c r="D14" s="23" t="inlineStr">
        <is>
          <t>Santos &amp; Silva (2025); Triplett (2022)</t>
        </is>
      </c>
      <c r="E14" s="24" t="inlineStr">
        <is>
          <t>Uso de diseños que facilitan el comportamiento de seguridad intuitivo sin fricción excesiva de usabilidad.</t>
        </is>
      </c>
      <c r="F14" s="17" t="n">
        <v>3</v>
      </c>
      <c r="G14" s="25" t="n">
        <v>2</v>
      </c>
      <c r="H14" s="19">
        <f>F14*G14</f>
        <v/>
      </c>
      <c r="I14" s="25">
        <f>G14*5</f>
        <v/>
      </c>
      <c r="J14" s="26">
        <f>H14/I14</f>
        <v/>
      </c>
    </row>
    <row r="15" ht="36" customHeight="1">
      <c r="A15" s="8" t="inlineStr">
        <is>
          <t>DS-03</t>
        </is>
      </c>
      <c r="B15" s="12" t="inlineStr">
        <is>
          <t>Prisma de Diseño</t>
        </is>
      </c>
      <c r="C15" s="9" t="inlineStr">
        <is>
          <t>Seguridad por Diseño y Supervisión Humana</t>
        </is>
      </c>
      <c r="D15" s="15" t="inlineStr">
        <is>
          <t>Santos &amp; Silva (2025); Gutzwiller et al. (2021)</t>
        </is>
      </c>
      <c r="E15" s="16" t="inlineStr">
        <is>
          <t>Diseño de procesos de automatización cibernética que preservan y retroalimentan la capacidad de supervisión del usuario.</t>
        </is>
      </c>
      <c r="F15" s="17" t="n">
        <v>3</v>
      </c>
      <c r="G15" s="18" t="n">
        <v>2</v>
      </c>
      <c r="H15" s="19">
        <f>F15*G15</f>
        <v/>
      </c>
      <c r="I15" s="18">
        <f>G15*5</f>
        <v/>
      </c>
      <c r="J15" s="14">
        <f>H15/I15</f>
        <v/>
      </c>
    </row>
    <row r="16" ht="36" customHeight="1">
      <c r="A16" s="20" t="inlineStr">
        <is>
          <t>DS-04</t>
        </is>
      </c>
      <c r="B16" s="21" t="inlineStr">
        <is>
          <t>Prisma de Diseño</t>
        </is>
      </c>
      <c r="C16" s="22" t="inlineStr">
        <is>
          <t>Gestión de Shadow IT y BYOD</t>
        </is>
      </c>
      <c r="D16" s="23" t="inlineStr">
        <is>
          <t>Fernandes et al. (2021)</t>
        </is>
      </c>
      <c r="E16" s="24" t="inlineStr">
        <is>
          <t>Existencia de software aprobado, rutinas e interfaces amigables para gestionar dispositivos BYOD.</t>
        </is>
      </c>
      <c r="F16" s="17" t="n">
        <v>3</v>
      </c>
      <c r="G16" s="25" t="n">
        <v>1</v>
      </c>
      <c r="H16" s="19">
        <f>F16*G16</f>
        <v/>
      </c>
      <c r="I16" s="25">
        <f>G16*5</f>
        <v/>
      </c>
      <c r="J16" s="26">
        <f>H16/I16</f>
        <v/>
      </c>
    </row>
    <row r="17" ht="36" customHeight="1">
      <c r="A17" s="8" t="inlineStr">
        <is>
          <t>GO-01</t>
        </is>
      </c>
      <c r="B17" s="12" t="inlineStr">
        <is>
          <t>Gobernanza y Cumplimiento</t>
        </is>
      </c>
      <c r="C17" s="9" t="inlineStr">
        <is>
          <t>Gobernanza NIST SP 800-53</t>
        </is>
      </c>
      <c r="D17" s="15" t="inlineStr">
        <is>
          <t>Airbus (2024); NIST (2023)</t>
        </is>
      </c>
      <c r="E17" s="16" t="inlineStr">
        <is>
          <t>Implementación estructurada de controles de Gobernanza (PM), Control de Acceso (AC) y Auditoría de Sistemas (CA).</t>
        </is>
      </c>
      <c r="F17" s="17" t="n">
        <v>3</v>
      </c>
      <c r="G17" s="18" t="n">
        <v>3</v>
      </c>
      <c r="H17" s="19">
        <f>F17*G17</f>
        <v/>
      </c>
      <c r="I17" s="18">
        <f>G17*5</f>
        <v/>
      </c>
      <c r="J17" s="14">
        <f>H17/I17</f>
        <v/>
      </c>
    </row>
    <row r="18" ht="36" customHeight="1">
      <c r="A18" s="20" t="inlineStr">
        <is>
          <t>GO-02</t>
        </is>
      </c>
      <c r="B18" s="21" t="inlineStr">
        <is>
          <t>Gobernanza y Cumplimiento</t>
        </is>
      </c>
      <c r="C18" s="22" t="inlineStr">
        <is>
          <t>Detección y Respuesta NIST SP 800-53</t>
        </is>
      </c>
      <c r="D18" s="23" t="inlineStr">
        <is>
          <t>Airbus (2024); NIST (2023)</t>
        </is>
      </c>
      <c r="E18" s="24" t="inlineStr">
        <is>
          <t>Implementación de rutinas de monitoreo continuo (AU), transparencia (PT), respuesta (IR) y contingencia (CP).</t>
        </is>
      </c>
      <c r="F18" s="17" t="n">
        <v>3</v>
      </c>
      <c r="G18" s="25" t="n">
        <v>3</v>
      </c>
      <c r="H18" s="19">
        <f>F18*G18</f>
        <v/>
      </c>
      <c r="I18" s="25">
        <f>G18*5</f>
        <v/>
      </c>
      <c r="J18" s="26">
        <f>H18/I18</f>
        <v/>
      </c>
    </row>
    <row r="19" ht="36" customHeight="1">
      <c r="A19" s="8" t="inlineStr">
        <is>
          <t>GO-03</t>
        </is>
      </c>
      <c r="B19" s="12" t="inlineStr">
        <is>
          <t>Gobernanza y Cumplimiento</t>
        </is>
      </c>
      <c r="C19" s="9" t="inlineStr">
        <is>
          <t>Principios de Privacidad de la LGPD</t>
        </is>
      </c>
      <c r="D19" s="15" t="inlineStr">
        <is>
          <t>Fernandes et al. (2021); Brasil (2018)</t>
        </is>
      </c>
      <c r="E19" s="16" t="inlineStr">
        <is>
          <t>Cumplimiento estricto de los principios de minimización, adecuación y limitación de almacenamiento en el uso de computación en la nube.</t>
        </is>
      </c>
      <c r="F19" s="17" t="n">
        <v>3</v>
      </c>
      <c r="G19" s="18" t="n">
        <v>2</v>
      </c>
      <c r="H19" s="19">
        <f>F19*G19</f>
        <v/>
      </c>
      <c r="I19" s="18">
        <f>G19*5</f>
        <v/>
      </c>
      <c r="J19" s="14">
        <f>H19/I19</f>
        <v/>
      </c>
    </row>
    <row r="20" ht="36" customHeight="1">
      <c r="A20" s="20" t="inlineStr">
        <is>
          <t>GO-04</t>
        </is>
      </c>
      <c r="B20" s="21" t="inlineStr">
        <is>
          <t>Gobernanza y Cumplimiento</t>
        </is>
      </c>
      <c r="C20" s="22" t="inlineStr">
        <is>
          <t>Blindaje OSINT e Índice de Riesgo</t>
        </is>
      </c>
      <c r="D20" s="23" t="inlineStr">
        <is>
          <t>Jesus et al. (2023)</t>
        </is>
      </c>
      <c r="E20" s="24" t="inlineStr">
        <is>
          <t>Utilización de inteligencia de fuentes abiertas gubernamentales para la validación de datos de registro y prevención de fraude.</t>
        </is>
      </c>
      <c r="F20" s="17" t="n">
        <v>3</v>
      </c>
      <c r="G20" s="25" t="n">
        <v>1</v>
      </c>
      <c r="H20" s="19">
        <f>F20*G20</f>
        <v/>
      </c>
      <c r="I20" s="25">
        <f>G20*5</f>
        <v/>
      </c>
      <c r="J20" s="26">
        <f>H20/I20</f>
        <v/>
      </c>
    </row>
    <row r="21" ht="24" customHeight="1">
      <c r="A21" s="40" t="inlineStr">
        <is>
          <t>TOTALES Y PROMEDIOS</t>
        </is>
      </c>
      <c r="B21" s="39" t="n"/>
      <c r="C21" s="39" t="n"/>
      <c r="D21" s="39" t="n"/>
      <c r="E21" s="39" t="n"/>
      <c r="F21" s="29">
        <f>AVERAGE(F5:F20)</f>
        <v/>
      </c>
      <c r="G21" s="30">
        <f>SUM(G5:G20)</f>
        <v/>
      </c>
      <c r="H21" s="31">
        <f>SUM(H5:H20)</f>
        <v/>
      </c>
      <c r="I21" s="30">
        <f>SUM(I5:I20)</f>
        <v/>
      </c>
      <c r="J21" s="32">
        <f>H21/I21</f>
        <v/>
      </c>
    </row>
  </sheetData>
  <mergeCells count="3">
    <mergeCell ref="A21:E21"/>
    <mergeCell ref="A1:J1"/>
    <mergeCell ref="A2:J2"/>
  </mergeCells>
  <dataValidations count="1">
    <dataValidation sqref="F5:F20" showDropDown="0" showInputMessage="0" showErrorMessage="0" allowBlank="0" errorTitle="Puntuación No Válida" error="La puntuación ingresada debe ser un número entero de 1 a 5." promptTitle="Puntuación del Proceso" prompt="Ingrese una puntuación de madurez de 1 (Muy Débil/Crítico) a 5 (Líder/Resiliente).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2026-08-17T20:45:56Z</dcterms:created>
  <dcterms:modified xsi:type="dcterms:W3CDTF">2026-08-17T22:37:48Z</dcterms:modified>
</cp:coreProperties>
</file>